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GAVI\Downloads\"/>
    </mc:Choice>
  </mc:AlternateContent>
  <xr:revisionPtr revIDLastSave="0" documentId="13_ncr:1_{B6B5119F-C4CE-475E-81BA-80BD080EC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G27" i="2"/>
  <c r="G28" i="2"/>
  <c r="G29" i="2"/>
  <c r="G30" i="2"/>
  <c r="G31" i="2"/>
  <c r="G32" i="2"/>
  <c r="G33" i="2"/>
  <c r="G34" i="2"/>
  <c r="G35" i="2"/>
  <c r="G18" i="2"/>
  <c r="G19" i="2"/>
  <c r="G20" i="2"/>
  <c r="G21" i="2"/>
  <c r="G22" i="2"/>
  <c r="G23" i="2"/>
  <c r="G24" i="2"/>
  <c r="G25" i="2"/>
  <c r="G10" i="2"/>
  <c r="G11" i="2"/>
  <c r="G12" i="2"/>
  <c r="G13" i="2"/>
  <c r="G14" i="2"/>
  <c r="G15" i="2"/>
  <c r="G16" i="2"/>
  <c r="G17" i="2"/>
  <c r="G4" i="2"/>
  <c r="G5" i="2"/>
  <c r="G6" i="2"/>
  <c r="G7" i="2"/>
  <c r="G8" i="2"/>
  <c r="G9" i="2"/>
  <c r="G2" i="2"/>
  <c r="G3" i="2"/>
  <c r="P16" i="2"/>
  <c r="H2" i="2"/>
  <c r="K35" i="3"/>
  <c r="J35" i="3"/>
  <c r="I35" i="3"/>
  <c r="H35" i="3"/>
  <c r="G35" i="3"/>
  <c r="K34" i="3"/>
  <c r="J34" i="3"/>
  <c r="I34" i="3"/>
  <c r="H34" i="3"/>
  <c r="G34" i="3"/>
  <c r="K33" i="3"/>
  <c r="J33" i="3"/>
  <c r="I33" i="3"/>
  <c r="H33" i="3"/>
  <c r="G33" i="3"/>
  <c r="K32" i="3"/>
  <c r="J32" i="3"/>
  <c r="I32" i="3"/>
  <c r="H32" i="3"/>
  <c r="G32" i="3"/>
  <c r="K31" i="3"/>
  <c r="J31" i="3"/>
  <c r="I31" i="3"/>
  <c r="H31" i="3"/>
  <c r="G31" i="3"/>
  <c r="K30" i="3"/>
  <c r="J30" i="3"/>
  <c r="I30" i="3"/>
  <c r="H30" i="3"/>
  <c r="G30" i="3"/>
  <c r="K29" i="3"/>
  <c r="J29" i="3"/>
  <c r="I29" i="3"/>
  <c r="H29" i="3"/>
  <c r="G29" i="3"/>
  <c r="K28" i="3"/>
  <c r="J28" i="3"/>
  <c r="I28" i="3"/>
  <c r="H28" i="3"/>
  <c r="G28" i="3"/>
  <c r="K27" i="3"/>
  <c r="J27" i="3"/>
  <c r="I27" i="3"/>
  <c r="H27" i="3"/>
  <c r="G27" i="3"/>
  <c r="K26" i="3"/>
  <c r="J26" i="3"/>
  <c r="I26" i="3"/>
  <c r="H26" i="3"/>
  <c r="G26" i="3"/>
  <c r="K25" i="3"/>
  <c r="J25" i="3"/>
  <c r="I25" i="3"/>
  <c r="H25" i="3"/>
  <c r="G25" i="3"/>
  <c r="K24" i="3"/>
  <c r="J24" i="3"/>
  <c r="I24" i="3"/>
  <c r="H24" i="3"/>
  <c r="G24" i="3"/>
  <c r="K23" i="3"/>
  <c r="J23" i="3"/>
  <c r="I23" i="3"/>
  <c r="H23" i="3"/>
  <c r="G23" i="3"/>
  <c r="K22" i="3"/>
  <c r="J22" i="3"/>
  <c r="I22" i="3"/>
  <c r="H22" i="3"/>
  <c r="G22" i="3"/>
  <c r="K21" i="3"/>
  <c r="J21" i="3"/>
  <c r="I21" i="3"/>
  <c r="H21" i="3"/>
  <c r="G21" i="3"/>
  <c r="K20" i="3"/>
  <c r="J20" i="3"/>
  <c r="I20" i="3"/>
  <c r="H20" i="3"/>
  <c r="G20" i="3"/>
  <c r="K19" i="3"/>
  <c r="J19" i="3"/>
  <c r="I19" i="3"/>
  <c r="H19" i="3"/>
  <c r="G19" i="3"/>
  <c r="K18" i="3"/>
  <c r="J18" i="3"/>
  <c r="I18" i="3"/>
  <c r="H18" i="3"/>
  <c r="G18" i="3"/>
  <c r="K17" i="3"/>
  <c r="J17" i="3"/>
  <c r="I17" i="3"/>
  <c r="H17" i="3"/>
  <c r="G17" i="3"/>
  <c r="K16" i="3"/>
  <c r="J16" i="3"/>
  <c r="I16" i="3"/>
  <c r="H16" i="3"/>
  <c r="G16" i="3"/>
  <c r="K15" i="3"/>
  <c r="J15" i="3"/>
  <c r="I15" i="3"/>
  <c r="H15" i="3"/>
  <c r="G15" i="3"/>
  <c r="K14" i="3"/>
  <c r="J14" i="3"/>
  <c r="I14" i="3"/>
  <c r="H14" i="3"/>
  <c r="G14" i="3"/>
  <c r="K13" i="3"/>
  <c r="J13" i="3"/>
  <c r="I13" i="3"/>
  <c r="H13" i="3"/>
  <c r="G13" i="3"/>
  <c r="K12" i="3"/>
  <c r="J12" i="3"/>
  <c r="I12" i="3"/>
  <c r="H12" i="3"/>
  <c r="G12" i="3"/>
  <c r="K11" i="3"/>
  <c r="J11" i="3"/>
  <c r="I11" i="3"/>
  <c r="H11" i="3"/>
  <c r="G11" i="3"/>
  <c r="K10" i="3"/>
  <c r="J10" i="3"/>
  <c r="I10" i="3"/>
  <c r="H10" i="3"/>
  <c r="G10" i="3"/>
  <c r="K9" i="3"/>
  <c r="J9" i="3"/>
  <c r="I9" i="3"/>
  <c r="H9" i="3"/>
  <c r="G9" i="3"/>
  <c r="K8" i="3"/>
  <c r="J8" i="3"/>
  <c r="I8" i="3"/>
  <c r="H8" i="3"/>
  <c r="G8" i="3"/>
  <c r="K7" i="3"/>
  <c r="J7" i="3"/>
  <c r="I7" i="3"/>
  <c r="H7" i="3"/>
  <c r="G7" i="3"/>
  <c r="K6" i="3"/>
  <c r="J6" i="3"/>
  <c r="I6" i="3"/>
  <c r="H6" i="3"/>
  <c r="G6" i="3"/>
  <c r="K5" i="3"/>
  <c r="J5" i="3"/>
  <c r="I5" i="3"/>
  <c r="H5" i="3"/>
  <c r="G5" i="3"/>
  <c r="K4" i="3"/>
  <c r="J4" i="3"/>
  <c r="I4" i="3"/>
  <c r="H4" i="3"/>
  <c r="G4" i="3"/>
  <c r="K3" i="3"/>
  <c r="J3" i="3"/>
  <c r="I3" i="3"/>
  <c r="H3" i="3"/>
  <c r="G3" i="3"/>
  <c r="K2" i="3"/>
  <c r="J2" i="3"/>
  <c r="I2" i="3"/>
  <c r="H2" i="3"/>
  <c r="G2" i="3"/>
  <c r="K2" i="2"/>
  <c r="J3" i="2"/>
  <c r="J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33" i="2"/>
  <c r="J34" i="2"/>
  <c r="J35" i="2"/>
  <c r="J23" i="2"/>
  <c r="J24" i="2"/>
  <c r="J25" i="2"/>
  <c r="J26" i="2"/>
  <c r="J27" i="2"/>
  <c r="J28" i="2"/>
  <c r="J29" i="2"/>
  <c r="J30" i="2"/>
  <c r="J31" i="2"/>
  <c r="J32" i="2"/>
  <c r="J11" i="2"/>
  <c r="J12" i="2"/>
  <c r="J13" i="2"/>
  <c r="J14" i="2"/>
  <c r="J15" i="2"/>
  <c r="J16" i="2"/>
  <c r="J17" i="2"/>
  <c r="J18" i="2"/>
  <c r="J19" i="2"/>
  <c r="J20" i="2"/>
  <c r="J21" i="2"/>
  <c r="J22" i="2"/>
  <c r="J4" i="2"/>
  <c r="J5" i="2"/>
  <c r="J6" i="2"/>
  <c r="J7" i="2"/>
  <c r="J8" i="2"/>
  <c r="J9" i="2"/>
  <c r="J1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H4" i="2"/>
  <c r="H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M19" i="2"/>
  <c r="M17" i="2"/>
  <c r="M11" i="2"/>
  <c r="M8" i="2"/>
  <c r="M13" i="2" s="1"/>
</calcChain>
</file>

<file path=xl/sharedStrings.xml><?xml version="1.0" encoding="utf-8"?>
<sst xmlns="http://schemas.openxmlformats.org/spreadsheetml/2006/main" count="324" uniqueCount="128">
  <si>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</si>
  <si>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</si>
  <si>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</si>
  <si>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</si>
  <si>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</si>
  <si>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</si>
  <si>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</si>
  <si>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</si>
  <si>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</si>
  <si>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</si>
  <si>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</si>
  <si>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</si>
  <si>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</si>
  <si>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</si>
  <si>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</si>
  <si>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</si>
  <si>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</si>
  <si>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</si>
  <si>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</si>
  <si>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</si>
  <si>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</si>
  <si>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</si>
  <si>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</si>
  <si>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</si>
  <si>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</si>
  <si>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</si>
  <si>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</si>
  <si>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</si>
  <si>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</si>
  <si>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</si>
  <si>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</si>
  <si>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</si>
  <si>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</si>
  <si>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</si>
  <si>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</si>
  <si>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</si>
  <si>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</si>
  <si>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</si>
  <si>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</si>
  <si>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</si>
  <si>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</si>
  <si>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</si>
  <si>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</si>
  <si>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</si>
  <si>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</si>
  <si>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</si>
  <si>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</si>
  <si>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</si>
  <si>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</si>
  <si>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</si>
  <si>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</si>
  <si>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</si>
  <si>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</si>
  <si>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</si>
  <si>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</si>
  <si>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</si>
  <si>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</si>
  <si>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</si>
  <si>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</si>
  <si>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</si>
  <si>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</si>
  <si>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</si>
  <si>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</si>
  <si>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</si>
  <si>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</si>
  <si>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</si>
  <si>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</si>
  <si>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</si>
  <si>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</si>
  <si>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</si>
  <si>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</si>
  <si>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</si>
  <si>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</si>
  <si>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</si>
  <si>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</si>
  <si>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</si>
  <si>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</si>
  <si>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</si>
  <si>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</si>
  <si>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</si>
  <si>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</si>
  <si>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</si>
  <si>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</si>
  <si>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</si>
  <si>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</si>
  <si>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</si>
  <si>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</si>
  <si>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</si>
  <si>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</si>
  <si>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</si>
  <si>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</si>
  <si>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</si>
  <si>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</si>
  <si>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</si>
  <si>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Calculate the total price of all products in the dataset.</t>
  </si>
  <si>
    <t>Determine how many products exist in the dataset.</t>
  </si>
  <si>
    <t>Calculate the average price of the products.</t>
  </si>
  <si>
    <t>2. Minimum and Maximum Values</t>
  </si>
  <si>
    <t>Identify the minimum price among all products.</t>
  </si>
  <si>
    <t>Identify the maximum price among all products.</t>
  </si>
  <si>
    <t>3. Logical Function – IF</t>
  </si>
  <si>
    <t>less than $100.</t>
  </si>
  <si>
    <t>5. Text Formatting – LEFT, RIGHT, MID</t>
  </si>
  <si>
    <t>sum</t>
  </si>
  <si>
    <t>count</t>
  </si>
  <si>
    <t>average</t>
  </si>
  <si>
    <t>PRICE RANGE</t>
  </si>
  <si>
    <t>SUMIF(D2:D35,"Electronics",F2:F35)</t>
  </si>
  <si>
    <t>DAY</t>
  </si>
  <si>
    <t>COUNTRY CODE</t>
  </si>
  <si>
    <t>MONTH</t>
  </si>
  <si>
    <t>Column1</t>
  </si>
  <si>
    <t>Minimum</t>
  </si>
  <si>
    <t>Maximum</t>
  </si>
  <si>
    <t>IF(D2&gt;=500,"HIGH PRICE",IF(D2&lt;500,"STANDART PRICE"))</t>
  </si>
  <si>
    <t>RESULT =PRICE RANGE</t>
  </si>
  <si>
    <t>4.Conditional Functions – SUMIF and COUNTIF</t>
  </si>
  <si>
    <t xml:space="preserve">Electronic price 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</si>
  <si>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COUNTIF function to determine the number of products with a price</t>
    </r>
  </si>
  <si>
    <t>COUNTIF(D2:D34, "&lt;100")</t>
  </si>
  <si>
    <t>RESULT = Electronic price</t>
  </si>
  <si>
    <t>LEFT(A2,2)</t>
  </si>
  <si>
    <t>RESULT = PRODUCT ID</t>
  </si>
  <si>
    <t>Product ID' column using the RIGHT function.</t>
  </si>
  <si>
    <t>RIGHT(A2,2)</t>
  </si>
  <si>
    <t>RESULT =COUNTRY CODE</t>
  </si>
  <si>
    <t>'Product ID' column using the MID function</t>
  </si>
  <si>
    <t>MID(A2,3,5)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</si>
</sst>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4"/>
      <color rgb="FF000000"/>
      <name val="Arial"/>
      <family val="2"/>
    </font>
    <font>
      <b/>
      <sz val="16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6"/>
      <color rgb="FF000000"/>
      <name val="Arial"/>
      <family val="2"/>
    </font>
    <font>
      <b/>
      <sz val="16"/>
      <color rgb="FFFF0000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4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4"/>
      <color theme="1"/>
      <name val="Arial"/>
      <family val="2"/>
      <scheme val="minor"/>
    </font>
    <font>
      <b/>
      <sz val="14"/>
      <color theme="5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ajor"/>
    </font>
    <font>
      <sz val="14"/>
      <color theme="1"/>
      <name val="Arial"/>
      <family val="2"/>
    </font>
    <font>
      <sz val="14"/>
      <color rgb="FF000000"/>
      <name val="Aptos"/>
      <family val="2"/>
    </font>
    <font>
      <sz val="14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3" fillId="2" borderId="0" xfId="1" applyFont="1" applyFill="1" applyAlignment="1">
      <alignment horizontal="center"/>
    </xf>
    <xf numFmtId="0" fontId="1" fillId="0" borderId="0" xfId="1" applyFont="1"/>
    <xf numFmtId="0" fontId="1" fillId="3" borderId="0" xfId="1" applyFont="1" applyFill="1"/>
    <xf numFmtId="0" fontId="2" fillId="0" borderId="0" xfId="0" applyFont="1"/>
    <xf numFmtId="0" fontId="1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7" fillId="5" borderId="0" xfId="0" applyFont="1" applyFill="1" applyAlignment="1">
      <alignment horizontal="right"/>
    </xf>
    <xf numFmtId="0" fontId="7" fillId="4" borderId="0" xfId="0" applyFont="1" applyFill="1"/>
    <xf numFmtId="0" fontId="0" fillId="4" borderId="0" xfId="0" applyFill="1"/>
    <xf numFmtId="0" fontId="8" fillId="5" borderId="0" xfId="0" applyFont="1" applyFill="1" applyAlignment="1">
      <alignment horizontal="right"/>
    </xf>
    <xf numFmtId="164" fontId="8" fillId="5" borderId="0" xfId="0" applyNumberFormat="1" applyFont="1" applyFill="1" applyAlignment="1">
      <alignment horizontal="right"/>
    </xf>
    <xf numFmtId="0" fontId="8" fillId="5" borderId="0" xfId="0" applyFont="1" applyFill="1"/>
    <xf numFmtId="0" fontId="5" fillId="4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0" fontId="9" fillId="6" borderId="0" xfId="0" applyFont="1" applyFill="1"/>
    <xf numFmtId="0" fontId="0" fillId="7" borderId="0" xfId="0" applyFill="1" applyAlignment="1">
      <alignment horizontal="center"/>
    </xf>
    <xf numFmtId="0" fontId="6" fillId="6" borderId="0" xfId="0" applyFont="1" applyFill="1"/>
    <xf numFmtId="0" fontId="10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12" fillId="6" borderId="0" xfId="0" applyFont="1" applyFill="1"/>
    <xf numFmtId="0" fontId="13" fillId="6" borderId="0" xfId="0" applyFont="1" applyFill="1"/>
    <xf numFmtId="0" fontId="14" fillId="0" borderId="0" xfId="0" applyFont="1"/>
    <xf numFmtId="0" fontId="15" fillId="4" borderId="0" xfId="0" applyFont="1" applyFill="1" applyAlignment="1">
      <alignment horizontal="justify" vertical="center"/>
    </xf>
    <xf numFmtId="0" fontId="13" fillId="6" borderId="0" xfId="0" applyFont="1" applyFill="1" applyAlignment="1">
      <alignment horizontal="left"/>
    </xf>
    <xf numFmtId="0" fontId="16" fillId="6" borderId="0" xfId="0" applyFont="1" applyFill="1" applyAlignment="1">
      <alignment horizontal="justify" vertical="center"/>
    </xf>
    <xf numFmtId="0" fontId="17" fillId="0" borderId="0" xfId="0" applyFont="1" applyAlignment="1">
      <alignment horizontal="justify" vertical="center"/>
    </xf>
    <xf numFmtId="0" fontId="18" fillId="6" borderId="0" xfId="0" applyFont="1" applyFill="1"/>
    <xf numFmtId="0" fontId="15" fillId="4" borderId="0" xfId="0" applyFont="1" applyFill="1"/>
    <xf numFmtId="0" fontId="17" fillId="6" borderId="0" xfId="0" applyFont="1" applyFill="1" applyAlignment="1">
      <alignment horizontal="justify" vertical="center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5" fillId="4" borderId="0" xfId="0" quotePrefix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C3011FB-4A79-4B1C-B8E7-D5E578456BDC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E08C3-7FE3-46AD-A156-D0B83F5E9B28}" name="Table1" displayName="Table1" ref="G1:K35" totalsRowShown="0" headerRowDxfId="13" dataDxfId="12" headerRowCellStyle="Normal 2" dataCellStyle="Normal 2">
  <autoFilter ref="G1:K35" xr:uid="{179E08C3-7FE3-46AD-A156-D0B83F5E9B28}"/>
  <tableColumns count="5">
    <tableColumn id="1" xr3:uid="{BB2E2BF4-42EF-4C90-96E1-A1629310F855}" name="Electronic price " dataDxfId="11" dataCellStyle="Normal 2">
      <calculatedColumnFormula>SUMIF(F2:F35,"Electronics",D2:D35)</calculatedColumnFormula>
    </tableColumn>
    <tableColumn id="2" xr3:uid="{DC4EE2AF-9716-43C3-862F-D8DE4DE19A32}" name="PRICE RANGE" dataDxfId="10" dataCellStyle="Normal 2">
      <calculatedColumnFormula>IF(D2&gt;=500,"HIGH PRICE",IF(D2&lt;500,"STANDART PRICE"))</calculatedColumnFormula>
    </tableColumn>
    <tableColumn id="3" xr3:uid="{F3429E1A-7D77-4D56-9A00-E3B40C0BB148}" name="DAY" dataDxfId="9" dataCellStyle="Normal 2">
      <calculatedColumnFormula>LEFT(A2,2)</calculatedColumnFormula>
    </tableColumn>
    <tableColumn id="4" xr3:uid="{F032E5F8-A5A5-47FE-B662-8034715BBD93}" name="COUNTRY CODE" dataDxfId="8" dataCellStyle="Normal 2">
      <calculatedColumnFormula>RIGHT(A2,2)</calculatedColumnFormula>
    </tableColumn>
    <tableColumn id="5" xr3:uid="{FA66F141-A3CF-492F-9F4E-5B1143775347}" name="MONTH" dataDxfId="7" dataCellStyle="Normal 2">
      <calculatedColumnFormula>MID(A2,3,5)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CB7B88-04C9-402C-BDAE-6548D1E66E4D}" name="Table13" displayName="Table13" ref="G1:K35" totalsRowShown="0" headerRowDxfId="6" dataDxfId="5" headerRowCellStyle="Normal 2" dataCellStyle="Normal 2">
  <autoFilter ref="G1:K35" xr:uid="{B8CB7B88-04C9-402C-BDAE-6548D1E66E4D}"/>
  <tableColumns count="5">
    <tableColumn id="1" xr3:uid="{4BD7CB16-42A0-4B40-9B77-CF1C7C55A43D}" name="Column1" dataDxfId="4" dataCellStyle="Normal 2">
      <calculatedColumnFormula>SUMIF(F2:F35,"Eelctronics")</calculatedColumnFormula>
    </tableColumn>
    <tableColumn id="2" xr3:uid="{9BB20CB9-F837-4107-A707-DE3B8A7BA65A}" name="PRICE RANGE" dataDxfId="3" dataCellStyle="Normal 2">
      <calculatedColumnFormula>IF(D2&gt;=500,"HIGH PRICE",IF(D2&lt;500,"STANDART PRICE"))</calculatedColumnFormula>
    </tableColumn>
    <tableColumn id="3" xr3:uid="{2BB32595-E470-45A4-8D69-E4BF644E66F8}" name="DAY" dataDxfId="2" dataCellStyle="Normal 2">
      <calculatedColumnFormula>LEFT(A2,2)</calculatedColumnFormula>
    </tableColumn>
    <tableColumn id="4" xr3:uid="{2CE6C648-DDA7-4808-84CD-577DBA755923}" name="COUNTRY CODE" dataDxfId="1" dataCellStyle="Normal 2">
      <calculatedColumnFormula>RIGHT(A2,2)</calculatedColumnFormula>
    </tableColumn>
    <tableColumn id="5" xr3:uid="{40F93536-B45C-4B84-98B8-C8E682131635}" name="MONTH" dataDxfId="0" dataCellStyle="Normal 2">
      <calculatedColumnFormula>MID(A2,3,5)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F378-65FC-47DE-AD9D-B2D8E72A3E33}">
  <dimension ref="A1:V36"/>
  <sheetViews>
    <sheetView tabSelected="1" zoomScale="98" zoomScaleNormal="98" workbookViewId="0">
      <selection activeCell="H14" sqref="H14"/>
    </sheetView>
  </sheetViews>
  <sheetFormatPr defaultRowHeight="13.2" x14ac:dyDescent="0.25"/>
  <cols>
    <col min="1" max="1" width="25.21875" customWidth="1"/>
    <col min="2" max="2" width="23.33203125" customWidth="1"/>
    <col min="3" max="3" width="19.33203125" customWidth="1"/>
    <col min="6" max="6" width="15.77734375" customWidth="1"/>
    <col min="7" max="7" width="24.77734375" customWidth="1"/>
    <col min="8" max="11" width="29" customWidth="1"/>
    <col min="12" max="12" width="24.33203125" customWidth="1"/>
    <col min="13" max="13" width="15.6640625" customWidth="1"/>
    <col min="14" max="14" width="45" customWidth="1"/>
    <col min="16" max="16" width="70.88671875" customWidth="1"/>
    <col min="17" max="17" width="17.77734375" customWidth="1"/>
    <col min="18" max="18" width="1.44140625" customWidth="1"/>
    <col min="19" max="19" width="66.33203125" customWidth="1"/>
    <col min="22" max="22" width="24.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117</v>
      </c>
      <c r="H1" s="1" t="s">
        <v>106</v>
      </c>
      <c r="I1" s="1" t="s">
        <v>108</v>
      </c>
      <c r="J1" s="1" t="s">
        <v>109</v>
      </c>
      <c r="K1" s="1" t="s">
        <v>110</v>
      </c>
    </row>
    <row r="2" spans="1:22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>
        <f>SUMIF(F2:F35,"Electronics",D2:D35)</f>
        <v>8050</v>
      </c>
      <c r="H2" s="2" t="str">
        <f>IF(D2&gt;=500,"HIGH PRICE",IF(D2&lt;500,"STANDART PRICE"))</f>
        <v>HIGH PRICE</v>
      </c>
      <c r="I2" s="2" t="str">
        <f>LEFT(A2,2)</f>
        <v>28</v>
      </c>
      <c r="J2" s="2" t="str">
        <f t="shared" ref="J2:J35" si="0">RIGHT(A2,2)</f>
        <v>US</v>
      </c>
      <c r="K2" s="2" t="str">
        <f>MID(A2,3,5)</f>
        <v>-JAN-</v>
      </c>
    </row>
    <row r="3" spans="1:22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>
        <f>SUMIF(F3:F36,"Electronics",D3:D36)</f>
        <v>7050</v>
      </c>
      <c r="H3" s="2" t="str">
        <f t="shared" ref="H3:H35" si="1">IF(D3&gt;=500,"HIGH PRICE",IF(D3&lt;500,"STANDART PRICE"))</f>
        <v>STANDART PRICE</v>
      </c>
      <c r="I3" s="2" t="str">
        <f t="shared" ref="I3:I36" si="2">LEFT(A3,2)</f>
        <v>15</v>
      </c>
      <c r="J3" s="2" t="str">
        <f>RIGHT(A3,2)</f>
        <v>US</v>
      </c>
      <c r="K3" s="2" t="str">
        <f t="shared" ref="K3:K35" si="3">MID(A3,3,5)</f>
        <v>-FEB-</v>
      </c>
      <c r="M3" s="29"/>
    </row>
    <row r="4" spans="1:22" ht="21" x14ac:dyDescent="0.4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>
        <f t="shared" ref="G4:G9" si="4">SUMIF(F4:F37,"Electronics",D4:D37)</f>
        <v>7050</v>
      </c>
      <c r="H4" s="2" t="str">
        <f>IF(D4&gt;=500,"HIGH PRICE",IF(D4&lt;500,"STANDART PRICE"))</f>
        <v>STANDART PRICE</v>
      </c>
      <c r="I4" s="2" t="str">
        <f t="shared" si="2"/>
        <v>03</v>
      </c>
      <c r="J4" s="2" t="str">
        <f t="shared" si="0"/>
        <v>US</v>
      </c>
      <c r="K4" s="2" t="str">
        <f t="shared" si="3"/>
        <v>-MAR-</v>
      </c>
      <c r="M4" s="37" t="s">
        <v>93</v>
      </c>
      <c r="N4" s="37"/>
      <c r="P4" s="18" t="s">
        <v>100</v>
      </c>
      <c r="S4" s="39" t="s">
        <v>123</v>
      </c>
      <c r="T4" s="40"/>
      <c r="U4" s="40"/>
      <c r="V4" s="40"/>
    </row>
    <row r="5" spans="1:22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>
        <f t="shared" si="4"/>
        <v>7050</v>
      </c>
      <c r="H5" s="2" t="str">
        <f t="shared" si="1"/>
        <v>HIGH PRICE</v>
      </c>
      <c r="I5" s="2" t="str">
        <f t="shared" si="2"/>
        <v>11</v>
      </c>
      <c r="J5" s="2" t="str">
        <f t="shared" si="0"/>
        <v>US</v>
      </c>
      <c r="K5" s="2" t="str">
        <f t="shared" si="3"/>
        <v>-APR-</v>
      </c>
    </row>
    <row r="6" spans="1:22" ht="18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>
        <f t="shared" si="4"/>
        <v>6150</v>
      </c>
      <c r="H6" s="2" t="str">
        <f t="shared" si="1"/>
        <v>STANDART PRICE</v>
      </c>
      <c r="I6" s="2" t="str">
        <f t="shared" si="2"/>
        <v>22</v>
      </c>
      <c r="J6" s="2" t="str">
        <f t="shared" si="0"/>
        <v>US</v>
      </c>
      <c r="K6" s="2" t="str">
        <f t="shared" si="3"/>
        <v>-MAY-</v>
      </c>
      <c r="N6" s="23"/>
      <c r="O6" s="20"/>
      <c r="P6" s="21" t="s">
        <v>114</v>
      </c>
      <c r="Q6" s="19"/>
      <c r="R6" s="19"/>
      <c r="S6" s="34" t="s">
        <v>124</v>
      </c>
      <c r="T6" s="33"/>
      <c r="U6" s="33"/>
    </row>
    <row r="7" spans="1:22" ht="17.399999999999999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>
        <f t="shared" si="4"/>
        <v>6150</v>
      </c>
      <c r="H7" s="2" t="str">
        <f t="shared" si="1"/>
        <v>STANDART PRICE</v>
      </c>
      <c r="I7" s="2" t="str">
        <f t="shared" si="2"/>
        <v>07</v>
      </c>
      <c r="J7" s="2" t="str">
        <f t="shared" si="0"/>
        <v>UK</v>
      </c>
      <c r="K7" s="2" t="str">
        <f t="shared" si="3"/>
        <v>-JUN-</v>
      </c>
      <c r="L7" s="8"/>
      <c r="M7" s="9" t="s">
        <v>94</v>
      </c>
      <c r="N7" s="6"/>
      <c r="O7" s="6"/>
      <c r="P7" s="22" t="s">
        <v>115</v>
      </c>
      <c r="S7" s="22" t="s">
        <v>125</v>
      </c>
    </row>
    <row r="8" spans="1:22" ht="21" x14ac:dyDescent="0.4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>
        <f t="shared" si="4"/>
        <v>5950</v>
      </c>
      <c r="H8" s="2" t="str">
        <f t="shared" si="1"/>
        <v>STANDART PRICE</v>
      </c>
      <c r="I8" s="2" t="str">
        <f t="shared" si="2"/>
        <v>19</v>
      </c>
      <c r="J8" s="2" t="str">
        <f t="shared" si="0"/>
        <v>UK</v>
      </c>
      <c r="K8" s="2" t="str">
        <f t="shared" si="3"/>
        <v>-JUL-</v>
      </c>
      <c r="L8" s="7" t="s">
        <v>103</v>
      </c>
      <c r="M8" s="15">
        <f>SUM(D2:D35)</f>
        <v>10100</v>
      </c>
    </row>
    <row r="9" spans="1:22" ht="21" x14ac:dyDescent="0.4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>
        <f t="shared" si="4"/>
        <v>5950</v>
      </c>
      <c r="H9" s="2" t="str">
        <f t="shared" si="1"/>
        <v>STANDART PRICE</v>
      </c>
      <c r="I9" s="2" t="str">
        <f t="shared" si="2"/>
        <v>23</v>
      </c>
      <c r="J9" s="2" t="str">
        <f t="shared" si="0"/>
        <v>UK</v>
      </c>
      <c r="K9" s="2" t="str">
        <f t="shared" si="3"/>
        <v>-AUG-</v>
      </c>
      <c r="O9" s="4"/>
      <c r="P9" s="18" t="s">
        <v>116</v>
      </c>
      <c r="Q9" s="14"/>
      <c r="S9" s="35" t="s">
        <v>126</v>
      </c>
    </row>
    <row r="10" spans="1:22" ht="21" x14ac:dyDescent="0.4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>
        <f>SUMIF(F10:F43,"Electronics",D10:D43)</f>
        <v>5950</v>
      </c>
      <c r="H10" s="2" t="str">
        <f t="shared" si="1"/>
        <v>HIGH PRICE</v>
      </c>
      <c r="I10" s="2" t="str">
        <f t="shared" si="2"/>
        <v>05</v>
      </c>
      <c r="J10" s="2" t="str">
        <f t="shared" si="0"/>
        <v>UK</v>
      </c>
      <c r="K10" s="2" t="str">
        <f t="shared" si="3"/>
        <v>-SEP-</v>
      </c>
      <c r="L10" s="10"/>
      <c r="M10" s="11" t="s">
        <v>95</v>
      </c>
      <c r="N10" s="6"/>
      <c r="P10" s="24" t="s">
        <v>107</v>
      </c>
      <c r="S10" s="36" t="s">
        <v>127</v>
      </c>
    </row>
    <row r="11" spans="1:22" ht="21" x14ac:dyDescent="0.4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>
        <f>SUMIF(F11:F44,"Electronics",D11:D44)</f>
        <v>5450</v>
      </c>
      <c r="H11" s="2" t="str">
        <f t="shared" si="1"/>
        <v>STANDART PRICE</v>
      </c>
      <c r="I11" s="2" t="str">
        <f t="shared" si="2"/>
        <v>14</v>
      </c>
      <c r="J11" s="2" t="str">
        <f t="shared" si="0"/>
        <v>UK</v>
      </c>
      <c r="K11" s="2" t="str">
        <f t="shared" si="3"/>
        <v>-OCT-</v>
      </c>
      <c r="L11" s="12" t="s">
        <v>104</v>
      </c>
      <c r="M11" s="15">
        <f>COUNTA(B2:B35)</f>
        <v>34</v>
      </c>
      <c r="P11" s="22" t="s">
        <v>120</v>
      </c>
      <c r="S11" s="22" t="s">
        <v>125</v>
      </c>
    </row>
    <row r="12" spans="1:22" ht="17.399999999999999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>
        <f t="shared" ref="G12:G17" si="5">SUMIF(F12:F45,"Electronics",D12:D45)</f>
        <v>5450</v>
      </c>
      <c r="H12" s="2" t="str">
        <f t="shared" si="1"/>
        <v>HIGH PRICE</v>
      </c>
      <c r="I12" s="2" t="str">
        <f t="shared" si="2"/>
        <v>17</v>
      </c>
      <c r="J12" s="2" t="str">
        <f t="shared" si="0"/>
        <v>IN</v>
      </c>
      <c r="K12" s="2" t="str">
        <f t="shared" si="3"/>
        <v>-JUN-</v>
      </c>
      <c r="M12" s="9" t="s">
        <v>96</v>
      </c>
    </row>
    <row r="13" spans="1:22" ht="34.799999999999997" x14ac:dyDescent="0.4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>
        <f t="shared" si="5"/>
        <v>4500</v>
      </c>
      <c r="H13" s="2" t="str">
        <f t="shared" si="1"/>
        <v>STANDART PRICE</v>
      </c>
      <c r="I13" s="2" t="str">
        <f t="shared" si="2"/>
        <v>25</v>
      </c>
      <c r="J13" s="2" t="str">
        <f t="shared" si="0"/>
        <v>AU</v>
      </c>
      <c r="K13" s="2" t="str">
        <f t="shared" si="3"/>
        <v>-NOV-</v>
      </c>
      <c r="L13" s="7" t="s">
        <v>105</v>
      </c>
      <c r="M13" s="16">
        <f>AVERAGE(M8/34)</f>
        <v>297.05882352941177</v>
      </c>
      <c r="P13" s="25" t="s">
        <v>118</v>
      </c>
    </row>
    <row r="14" spans="1:22" ht="17.399999999999999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>
        <f t="shared" si="5"/>
        <v>4500</v>
      </c>
      <c r="H14" s="2" t="str">
        <f t="shared" si="1"/>
        <v>STANDART PRICE</v>
      </c>
      <c r="I14" s="2" t="str">
        <f t="shared" si="2"/>
        <v>08</v>
      </c>
      <c r="J14" s="2" t="str">
        <f t="shared" si="0"/>
        <v>DE</v>
      </c>
      <c r="K14" s="2" t="str">
        <f t="shared" si="3"/>
        <v>-DEC-</v>
      </c>
      <c r="P14" s="26" t="s">
        <v>101</v>
      </c>
    </row>
    <row r="15" spans="1:22" ht="21" x14ac:dyDescent="0.4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>
        <f t="shared" si="5"/>
        <v>4500</v>
      </c>
      <c r="H15" s="2" t="str">
        <f t="shared" si="1"/>
        <v>STANDART PRICE</v>
      </c>
      <c r="I15" s="2" t="str">
        <f t="shared" si="2"/>
        <v>18</v>
      </c>
      <c r="J15" s="2" t="str">
        <f t="shared" si="0"/>
        <v>CA</v>
      </c>
      <c r="K15" s="2" t="str">
        <f t="shared" si="3"/>
        <v>-FEB-</v>
      </c>
      <c r="M15" s="13" t="s">
        <v>97</v>
      </c>
      <c r="N15" s="14"/>
      <c r="P15" s="27" t="s">
        <v>119</v>
      </c>
    </row>
    <row r="16" spans="1:22" ht="17.399999999999999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>
        <f t="shared" si="5"/>
        <v>4350</v>
      </c>
      <c r="H16" s="2" t="str">
        <f t="shared" si="1"/>
        <v>STANDART PRICE</v>
      </c>
      <c r="I16" s="2" t="str">
        <f t="shared" si="2"/>
        <v>16</v>
      </c>
      <c r="J16" s="2" t="str">
        <f t="shared" si="0"/>
        <v>ES</v>
      </c>
      <c r="K16" s="2" t="str">
        <f t="shared" si="3"/>
        <v>-APR-</v>
      </c>
      <c r="M16" s="9" t="s">
        <v>98</v>
      </c>
      <c r="P16" s="31">
        <f>COUNTIF(D2:D34,"&lt;100")</f>
        <v>11</v>
      </c>
    </row>
    <row r="17" spans="1:16" ht="21" x14ac:dyDescent="0.4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>
        <f t="shared" si="5"/>
        <v>4100</v>
      </c>
      <c r="H17" s="2" t="str">
        <f t="shared" si="1"/>
        <v>STANDART PRICE</v>
      </c>
      <c r="I17" s="2" t="str">
        <f t="shared" si="2"/>
        <v>21</v>
      </c>
      <c r="J17" s="2" t="str">
        <f t="shared" si="0"/>
        <v>CA</v>
      </c>
      <c r="K17" s="2" t="str">
        <f t="shared" si="3"/>
        <v>-AUG-</v>
      </c>
      <c r="L17" s="7" t="s">
        <v>112</v>
      </c>
      <c r="M17" s="17">
        <f>MIN(D2:D35)</f>
        <v>30</v>
      </c>
      <c r="P17" s="30" t="s">
        <v>102</v>
      </c>
    </row>
    <row r="18" spans="1:16" ht="17.399999999999999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>
        <f>SUMIF(F18:F51,"Electronics",D18:D51)</f>
        <v>4100</v>
      </c>
      <c r="H18" s="2" t="str">
        <f t="shared" si="1"/>
        <v>STANDART PRICE</v>
      </c>
      <c r="I18" s="2" t="str">
        <f t="shared" si="2"/>
        <v>20</v>
      </c>
      <c r="J18" s="2" t="str">
        <f t="shared" si="0"/>
        <v>CN</v>
      </c>
      <c r="K18" s="2" t="str">
        <f t="shared" si="3"/>
        <v>-AUG-</v>
      </c>
      <c r="L18" s="38" t="s">
        <v>99</v>
      </c>
      <c r="M18" s="38"/>
      <c r="N18" s="38"/>
      <c r="P18" s="32" t="s">
        <v>121</v>
      </c>
    </row>
    <row r="19" spans="1:16" ht="21" x14ac:dyDescent="0.4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>
        <f>SUMIF(F19:F52,"Electronics",D19:D52)</f>
        <v>3940</v>
      </c>
      <c r="H19" s="2" t="str">
        <f t="shared" si="1"/>
        <v>HIGH PRICE</v>
      </c>
      <c r="I19" s="2" t="str">
        <f t="shared" si="2"/>
        <v>27</v>
      </c>
      <c r="J19" s="2" t="str">
        <f t="shared" si="0"/>
        <v>IT</v>
      </c>
      <c r="K19" s="2" t="str">
        <f t="shared" si="3"/>
        <v>-JAN-</v>
      </c>
      <c r="L19" s="7" t="s">
        <v>113</v>
      </c>
      <c r="M19" s="17">
        <f>MAX(D2:D35)</f>
        <v>1000</v>
      </c>
      <c r="P19" s="28" t="s">
        <v>122</v>
      </c>
    </row>
    <row r="20" spans="1:16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>
        <f t="shared" ref="G20:G25" si="6">SUMIF(F20:F53,"Electronics",D20:D53)</f>
        <v>2960</v>
      </c>
      <c r="H20" s="2" t="str">
        <f t="shared" si="1"/>
        <v>STANDART PRICE</v>
      </c>
      <c r="I20" s="2" t="str">
        <f t="shared" si="2"/>
        <v>01</v>
      </c>
      <c r="J20" s="2" t="str">
        <f t="shared" si="0"/>
        <v>UK</v>
      </c>
      <c r="K20" s="2" t="str">
        <f t="shared" si="3"/>
        <v>-MAR-</v>
      </c>
    </row>
    <row r="21" spans="1:16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>
        <f t="shared" si="6"/>
        <v>2960</v>
      </c>
      <c r="H21" s="2" t="str">
        <f t="shared" si="1"/>
        <v>STANDART PRICE</v>
      </c>
      <c r="I21" s="2" t="str">
        <f t="shared" si="2"/>
        <v>14</v>
      </c>
      <c r="J21" s="2" t="str">
        <f t="shared" si="0"/>
        <v>US</v>
      </c>
      <c r="K21" s="2" t="str">
        <f t="shared" si="3"/>
        <v>-AUG-</v>
      </c>
    </row>
    <row r="22" spans="1:16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>
        <f t="shared" si="6"/>
        <v>2960</v>
      </c>
      <c r="H22" s="2" t="str">
        <f t="shared" si="1"/>
        <v>HIGH PRICE</v>
      </c>
      <c r="I22" s="2" t="str">
        <f t="shared" si="2"/>
        <v>14</v>
      </c>
      <c r="J22" s="2" t="str">
        <f t="shared" si="0"/>
        <v>RU</v>
      </c>
      <c r="K22" s="2" t="str">
        <f t="shared" si="3"/>
        <v>-MAY-</v>
      </c>
    </row>
    <row r="23" spans="1:16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>
        <f t="shared" si="6"/>
        <v>2260</v>
      </c>
      <c r="H23" s="2" t="str">
        <f t="shared" si="1"/>
        <v>STANDART PRICE</v>
      </c>
      <c r="I23" s="2" t="str">
        <f t="shared" si="2"/>
        <v>09</v>
      </c>
      <c r="J23" s="2" t="str">
        <f>RIGHT(A23,2)</f>
        <v>CA</v>
      </c>
      <c r="K23" s="2" t="str">
        <f t="shared" si="3"/>
        <v>-JAN-</v>
      </c>
    </row>
    <row r="24" spans="1:16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>
        <f t="shared" si="6"/>
        <v>2260</v>
      </c>
      <c r="H24" s="2" t="str">
        <f t="shared" si="1"/>
        <v>STANDART PRICE</v>
      </c>
      <c r="I24" s="2" t="str">
        <f t="shared" si="2"/>
        <v>19</v>
      </c>
      <c r="J24" s="2" t="str">
        <f t="shared" si="0"/>
        <v>BR</v>
      </c>
      <c r="K24" s="2" t="str">
        <f t="shared" si="3"/>
        <v>-JUL-</v>
      </c>
    </row>
    <row r="25" spans="1:16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>
        <f t="shared" si="6"/>
        <v>2110</v>
      </c>
      <c r="H25" s="2" t="str">
        <f t="shared" si="1"/>
        <v>STANDART PRICE</v>
      </c>
      <c r="I25" s="2" t="str">
        <f t="shared" si="2"/>
        <v>21</v>
      </c>
      <c r="J25" s="2" t="str">
        <f t="shared" si="0"/>
        <v>CA</v>
      </c>
      <c r="K25" s="2" t="str">
        <f t="shared" si="3"/>
        <v>-AUG-</v>
      </c>
    </row>
    <row r="26" spans="1:16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>
        <f>SUMIF(F26:F59,"Electronics",D26:D59)</f>
        <v>2110</v>
      </c>
      <c r="H26" s="2" t="str">
        <f t="shared" si="1"/>
        <v>HIGH PRICE</v>
      </c>
      <c r="I26" s="2" t="str">
        <f t="shared" si="2"/>
        <v>29</v>
      </c>
      <c r="J26" s="2" t="str">
        <f t="shared" si="0"/>
        <v>CA</v>
      </c>
      <c r="K26" s="2" t="str">
        <f t="shared" si="3"/>
        <v>-SEP-</v>
      </c>
    </row>
    <row r="27" spans="1:16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>
        <f>SUMIF(F27:F60,"Electronics",D27:D60)</f>
        <v>1310</v>
      </c>
      <c r="H27" s="2" t="str">
        <f t="shared" si="1"/>
        <v>STANDART PRICE</v>
      </c>
      <c r="I27" s="2" t="str">
        <f t="shared" si="2"/>
        <v>03</v>
      </c>
      <c r="J27" s="2" t="str">
        <f t="shared" si="0"/>
        <v>CA</v>
      </c>
      <c r="K27" s="2" t="str">
        <f t="shared" si="3"/>
        <v>-JUN-</v>
      </c>
    </row>
    <row r="28" spans="1:16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>
        <f t="shared" ref="G28:G33" si="7">SUMIF(F28:F61,"Electronics",D28:D61)</f>
        <v>1310</v>
      </c>
      <c r="H28" s="2" t="str">
        <f t="shared" si="1"/>
        <v>STANDART PRICE</v>
      </c>
      <c r="I28" s="2" t="str">
        <f t="shared" si="2"/>
        <v>11</v>
      </c>
      <c r="J28" s="2" t="str">
        <f t="shared" si="0"/>
        <v>CA</v>
      </c>
      <c r="K28" s="2" t="str">
        <f t="shared" si="3"/>
        <v>-JUL-</v>
      </c>
    </row>
    <row r="29" spans="1:16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>
        <f t="shared" si="7"/>
        <v>1310</v>
      </c>
      <c r="H29" s="2" t="str">
        <f t="shared" si="1"/>
        <v>STANDART PRICE</v>
      </c>
      <c r="I29" s="2" t="str">
        <f t="shared" si="2"/>
        <v>16</v>
      </c>
      <c r="J29" s="2" t="str">
        <f t="shared" si="0"/>
        <v>ES</v>
      </c>
      <c r="K29" s="2" t="str">
        <f t="shared" si="3"/>
        <v>-APR-</v>
      </c>
    </row>
    <row r="30" spans="1:16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>
        <f t="shared" si="7"/>
        <v>1080</v>
      </c>
      <c r="H30" s="2" t="str">
        <f t="shared" si="1"/>
        <v>STANDART PRICE</v>
      </c>
      <c r="I30" s="2" t="str">
        <f t="shared" si="2"/>
        <v>07</v>
      </c>
      <c r="J30" s="2" t="str">
        <f t="shared" si="0"/>
        <v>CA</v>
      </c>
      <c r="K30" s="2" t="str">
        <f t="shared" si="3"/>
        <v>-MAR-</v>
      </c>
    </row>
    <row r="31" spans="1:16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>
        <f t="shared" si="7"/>
        <v>1080</v>
      </c>
      <c r="H31" s="2" t="str">
        <f t="shared" si="1"/>
        <v>STANDART PRICE</v>
      </c>
      <c r="I31" s="2" t="str">
        <f t="shared" si="2"/>
        <v>13</v>
      </c>
      <c r="J31" s="2" t="str">
        <f t="shared" si="0"/>
        <v>CA</v>
      </c>
      <c r="K31" s="2" t="str">
        <f t="shared" si="3"/>
        <v>-APR-</v>
      </c>
    </row>
    <row r="32" spans="1:16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>
        <f t="shared" si="7"/>
        <v>1080</v>
      </c>
      <c r="H32" s="2" t="str">
        <f t="shared" si="1"/>
        <v>STANDART PRICE</v>
      </c>
      <c r="I32" s="2" t="str">
        <f t="shared" si="2"/>
        <v>24</v>
      </c>
      <c r="J32" s="2" t="str">
        <f t="shared" si="0"/>
        <v>CA</v>
      </c>
      <c r="K32" s="2" t="str">
        <f t="shared" si="3"/>
        <v>-MAY-</v>
      </c>
    </row>
    <row r="33" spans="1:1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>
        <f t="shared" si="7"/>
        <v>950</v>
      </c>
      <c r="H33" s="2" t="str">
        <f t="shared" si="1"/>
        <v>STANDART PRICE</v>
      </c>
      <c r="I33" s="2" t="str">
        <f t="shared" si="2"/>
        <v>02</v>
      </c>
      <c r="J33" s="2" t="str">
        <f>RIGHT(A33,2)</f>
        <v>CA</v>
      </c>
      <c r="K33" s="2" t="str">
        <f t="shared" si="3"/>
        <v>-DEC-</v>
      </c>
    </row>
    <row r="34" spans="1:1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>
        <f>SUMIF(F34:F67,"Electronics",D34:D67)</f>
        <v>950</v>
      </c>
      <c r="H34" s="2" t="str">
        <f t="shared" si="1"/>
        <v>HIGH PRICE</v>
      </c>
      <c r="I34" s="2" t="str">
        <f t="shared" si="2"/>
        <v>17</v>
      </c>
      <c r="J34" s="2" t="str">
        <f t="shared" si="0"/>
        <v>IN</v>
      </c>
      <c r="K34" s="2" t="str">
        <f t="shared" si="3"/>
        <v>-JUN-</v>
      </c>
    </row>
    <row r="35" spans="1:1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>
        <f>SUMIF(F35:F68,"Electronics",D35:D68)</f>
        <v>0</v>
      </c>
      <c r="H35" s="2" t="str">
        <f t="shared" si="1"/>
        <v>STANDART PRICE</v>
      </c>
      <c r="I35" s="2" t="str">
        <f t="shared" si="2"/>
        <v>09</v>
      </c>
      <c r="J35" s="2" t="str">
        <f t="shared" si="0"/>
        <v>FR</v>
      </c>
      <c r="K35" s="2" t="str">
        <f t="shared" si="3"/>
        <v>-JUL-</v>
      </c>
    </row>
    <row r="36" spans="1:11" x14ac:dyDescent="0.25">
      <c r="H36" s="2"/>
      <c r="I36" s="2" t="str">
        <f t="shared" si="2"/>
        <v/>
      </c>
      <c r="J36" s="2"/>
      <c r="K36" s="2"/>
    </row>
  </sheetData>
  <mergeCells count="3">
    <mergeCell ref="M4:N4"/>
    <mergeCell ref="L18:N18"/>
    <mergeCell ref="S4:V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27C0-0F04-4E9E-9A72-6C9159C5BE22}">
  <dimension ref="A1:K35"/>
  <sheetViews>
    <sheetView workbookViewId="0">
      <selection activeCell="M3" sqref="M3"/>
    </sheetView>
  </sheetViews>
  <sheetFormatPr defaultRowHeight="13.2" x14ac:dyDescent="0.25"/>
  <cols>
    <col min="1" max="1" width="20.21875" customWidth="1"/>
    <col min="2" max="2" width="16.21875" customWidth="1"/>
    <col min="3" max="3" width="19.88671875" customWidth="1"/>
    <col min="4" max="4" width="16.6640625" customWidth="1"/>
    <col min="5" max="5" width="20.5546875" customWidth="1"/>
    <col min="6" max="6" width="16.109375" customWidth="1"/>
    <col min="7" max="7" width="17.44140625" customWidth="1"/>
    <col min="8" max="8" width="20.88671875" customWidth="1"/>
    <col min="9" max="9" width="17" customWidth="1"/>
    <col min="10" max="10" width="19.77734375" customWidth="1"/>
    <col min="11" max="11" width="13.33203125" customWidth="1"/>
    <col min="13" max="13" width="14.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106</v>
      </c>
      <c r="I1" s="1" t="s">
        <v>108</v>
      </c>
      <c r="J1" s="1" t="s">
        <v>109</v>
      </c>
      <c r="K1" s="1" t="s">
        <v>110</v>
      </c>
    </row>
    <row r="2" spans="1:1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>
        <f>SUMIF(D2:D35,"Electronics",F2:F35)</f>
        <v>0</v>
      </c>
      <c r="H2" s="2" t="str">
        <f>IF(D2&gt;=500,"HIGH PRICE",IF(D2&lt;500,"STANDART PRICE"))</f>
        <v>HIGH PRICE</v>
      </c>
      <c r="I2" s="5" t="str">
        <f>LEFT(A2,2)</f>
        <v>28</v>
      </c>
      <c r="J2" s="5" t="str">
        <f t="shared" ref="J2:J35" si="0">RIGHT(A2,2)</f>
        <v>US</v>
      </c>
      <c r="K2" s="5" t="str">
        <f>MID(A2,3,5)</f>
        <v>-JAN-</v>
      </c>
    </row>
    <row r="3" spans="1:1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>
        <f t="shared" ref="G3:G7" si="1">SUMIF(D3:D36,"Electronics",F3:F36)</f>
        <v>0</v>
      </c>
      <c r="H3" s="2" t="str">
        <f t="shared" ref="H3:H35" si="2">IF(D3&gt;=500,"HIGH PRICE",IF(D3&lt;500,"STANDART PRICE"))</f>
        <v>STANDART PRICE</v>
      </c>
      <c r="I3" s="5" t="str">
        <f t="shared" ref="I3:I35" si="3">LEFT(A3,2)</f>
        <v>15</v>
      </c>
      <c r="J3" s="5" t="str">
        <f>RIGHT(A3,2)</f>
        <v>US</v>
      </c>
      <c r="K3" s="5" t="str">
        <f t="shared" ref="K3:K35" si="4">MID(A3,3,5)</f>
        <v>-FEB-</v>
      </c>
    </row>
    <row r="4" spans="1:1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>
        <f t="shared" si="1"/>
        <v>0</v>
      </c>
      <c r="H4" s="2" t="str">
        <f>IF(D4&gt;=500,"HIGH PRICE",IF(D4&lt;500,"STANDART PRICE"))</f>
        <v>STANDART PRICE</v>
      </c>
      <c r="I4" s="5" t="str">
        <f t="shared" si="3"/>
        <v>03</v>
      </c>
      <c r="J4" s="5" t="str">
        <f t="shared" si="0"/>
        <v>US</v>
      </c>
      <c r="K4" s="5" t="str">
        <f t="shared" si="4"/>
        <v>-MAR-</v>
      </c>
    </row>
    <row r="5" spans="1:1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>
        <f t="shared" si="1"/>
        <v>0</v>
      </c>
      <c r="H5" s="2" t="str">
        <f t="shared" si="2"/>
        <v>HIGH PRICE</v>
      </c>
      <c r="I5" s="5" t="str">
        <f t="shared" si="3"/>
        <v>11</v>
      </c>
      <c r="J5" s="5" t="str">
        <f t="shared" si="0"/>
        <v>US</v>
      </c>
      <c r="K5" s="5" t="str">
        <f t="shared" si="4"/>
        <v>-APR-</v>
      </c>
    </row>
    <row r="6" spans="1:1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>
        <f t="shared" si="1"/>
        <v>0</v>
      </c>
      <c r="H6" s="2" t="str">
        <f t="shared" si="2"/>
        <v>STANDART PRICE</v>
      </c>
      <c r="I6" s="5" t="str">
        <f t="shared" si="3"/>
        <v>22</v>
      </c>
      <c r="J6" s="5" t="str">
        <f t="shared" si="0"/>
        <v>US</v>
      </c>
      <c r="K6" s="5" t="str">
        <f t="shared" si="4"/>
        <v>-MAY-</v>
      </c>
    </row>
    <row r="7" spans="1:1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>
        <f t="shared" si="1"/>
        <v>0</v>
      </c>
      <c r="H7" s="2" t="str">
        <f t="shared" si="2"/>
        <v>STANDART PRICE</v>
      </c>
      <c r="I7" s="5" t="str">
        <f t="shared" si="3"/>
        <v>07</v>
      </c>
      <c r="J7" s="5" t="str">
        <f t="shared" si="0"/>
        <v>UK</v>
      </c>
      <c r="K7" s="5" t="str">
        <f t="shared" si="4"/>
        <v>-JUN-</v>
      </c>
    </row>
    <row r="8" spans="1:1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>
        <f t="shared" ref="G8" si="5">SUMIF(D8:D41, "Eletronics", F8:F41)</f>
        <v>0</v>
      </c>
      <c r="H8" s="2" t="str">
        <f t="shared" si="2"/>
        <v>STANDART PRICE</v>
      </c>
      <c r="I8" s="5" t="str">
        <f t="shared" si="3"/>
        <v>19</v>
      </c>
      <c r="J8" s="5" t="str">
        <f t="shared" si="0"/>
        <v>UK</v>
      </c>
      <c r="K8" s="5" t="str">
        <f t="shared" si="4"/>
        <v>-JUL-</v>
      </c>
    </row>
    <row r="9" spans="1:1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>
        <f t="shared" ref="G9:G35" si="6">SUMIF(F9:F42,"Eelctronics")</f>
        <v>0</v>
      </c>
      <c r="H9" s="2" t="str">
        <f t="shared" si="2"/>
        <v>STANDART PRICE</v>
      </c>
      <c r="I9" s="5" t="str">
        <f t="shared" si="3"/>
        <v>23</v>
      </c>
      <c r="J9" s="5" t="str">
        <f t="shared" si="0"/>
        <v>UK</v>
      </c>
      <c r="K9" s="5" t="str">
        <f t="shared" si="4"/>
        <v>-AUG-</v>
      </c>
    </row>
    <row r="10" spans="1:1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>
        <f t="shared" si="6"/>
        <v>0</v>
      </c>
      <c r="H10" s="2" t="str">
        <f t="shared" si="2"/>
        <v>HIGH PRICE</v>
      </c>
      <c r="I10" s="5" t="str">
        <f t="shared" si="3"/>
        <v>05</v>
      </c>
      <c r="J10" s="5" t="str">
        <f t="shared" si="0"/>
        <v>UK</v>
      </c>
      <c r="K10" s="5" t="str">
        <f t="shared" si="4"/>
        <v>-SEP-</v>
      </c>
    </row>
    <row r="11" spans="1:1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>
        <f t="shared" si="6"/>
        <v>0</v>
      </c>
      <c r="H11" s="2" t="str">
        <f t="shared" si="2"/>
        <v>STANDART PRICE</v>
      </c>
      <c r="I11" s="5" t="str">
        <f t="shared" si="3"/>
        <v>14</v>
      </c>
      <c r="J11" s="5" t="str">
        <f t="shared" si="0"/>
        <v>UK</v>
      </c>
      <c r="K11" s="5" t="str">
        <f t="shared" si="4"/>
        <v>-OCT-</v>
      </c>
    </row>
    <row r="12" spans="1:1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>
        <f t="shared" si="6"/>
        <v>0</v>
      </c>
      <c r="H12" s="2" t="str">
        <f t="shared" si="2"/>
        <v>HIGH PRICE</v>
      </c>
      <c r="I12" s="5" t="str">
        <f t="shared" si="3"/>
        <v>17</v>
      </c>
      <c r="J12" s="5" t="str">
        <f t="shared" si="0"/>
        <v>IN</v>
      </c>
      <c r="K12" s="5" t="str">
        <f t="shared" si="4"/>
        <v>-JUN-</v>
      </c>
    </row>
    <row r="13" spans="1:1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>
        <f t="shared" si="6"/>
        <v>0</v>
      </c>
      <c r="H13" s="2" t="str">
        <f t="shared" si="2"/>
        <v>STANDART PRICE</v>
      </c>
      <c r="I13" s="5" t="str">
        <f t="shared" si="3"/>
        <v>25</v>
      </c>
      <c r="J13" s="5" t="str">
        <f t="shared" si="0"/>
        <v>AU</v>
      </c>
      <c r="K13" s="5" t="str">
        <f t="shared" si="4"/>
        <v>-NOV-</v>
      </c>
    </row>
    <row r="14" spans="1:1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>
        <f t="shared" si="6"/>
        <v>0</v>
      </c>
      <c r="H14" s="2" t="str">
        <f t="shared" si="2"/>
        <v>STANDART PRICE</v>
      </c>
      <c r="I14" s="5" t="str">
        <f t="shared" si="3"/>
        <v>08</v>
      </c>
      <c r="J14" s="5" t="str">
        <f t="shared" si="0"/>
        <v>DE</v>
      </c>
      <c r="K14" s="5" t="str">
        <f t="shared" si="4"/>
        <v>-DEC-</v>
      </c>
    </row>
    <row r="15" spans="1:1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>
        <f t="shared" si="6"/>
        <v>0</v>
      </c>
      <c r="H15" s="2" t="str">
        <f t="shared" si="2"/>
        <v>STANDART PRICE</v>
      </c>
      <c r="I15" s="5" t="str">
        <f t="shared" si="3"/>
        <v>18</v>
      </c>
      <c r="J15" s="5" t="str">
        <f t="shared" si="0"/>
        <v>CA</v>
      </c>
      <c r="K15" s="5" t="str">
        <f t="shared" si="4"/>
        <v>-FEB-</v>
      </c>
    </row>
    <row r="16" spans="1:1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>
        <f t="shared" si="6"/>
        <v>0</v>
      </c>
      <c r="H16" s="2" t="str">
        <f t="shared" si="2"/>
        <v>STANDART PRICE</v>
      </c>
      <c r="I16" s="5" t="str">
        <f t="shared" si="3"/>
        <v>16</v>
      </c>
      <c r="J16" s="5" t="str">
        <f t="shared" si="0"/>
        <v>ES</v>
      </c>
      <c r="K16" s="5" t="str">
        <f t="shared" si="4"/>
        <v>-APR-</v>
      </c>
    </row>
    <row r="17" spans="1:1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>
        <f t="shared" si="6"/>
        <v>0</v>
      </c>
      <c r="H17" s="2" t="str">
        <f t="shared" si="2"/>
        <v>STANDART PRICE</v>
      </c>
      <c r="I17" s="5" t="str">
        <f t="shared" si="3"/>
        <v>21</v>
      </c>
      <c r="J17" s="5" t="str">
        <f t="shared" si="0"/>
        <v>CA</v>
      </c>
      <c r="K17" s="5" t="str">
        <f t="shared" si="4"/>
        <v>-AUG-</v>
      </c>
    </row>
    <row r="18" spans="1:1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>
        <f t="shared" si="6"/>
        <v>0</v>
      </c>
      <c r="H18" s="2" t="str">
        <f t="shared" si="2"/>
        <v>STANDART PRICE</v>
      </c>
      <c r="I18" s="5" t="str">
        <f t="shared" si="3"/>
        <v>20</v>
      </c>
      <c r="J18" s="5" t="str">
        <f t="shared" si="0"/>
        <v>CN</v>
      </c>
      <c r="K18" s="5" t="str">
        <f t="shared" si="4"/>
        <v>-AUG-</v>
      </c>
    </row>
    <row r="19" spans="1:1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>
        <f t="shared" si="6"/>
        <v>0</v>
      </c>
      <c r="H19" s="2" t="str">
        <f t="shared" si="2"/>
        <v>HIGH PRICE</v>
      </c>
      <c r="I19" s="5" t="str">
        <f t="shared" si="3"/>
        <v>27</v>
      </c>
      <c r="J19" s="5" t="str">
        <f t="shared" si="0"/>
        <v>IT</v>
      </c>
      <c r="K19" s="5" t="str">
        <f t="shared" si="4"/>
        <v>-JAN-</v>
      </c>
    </row>
    <row r="20" spans="1:1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>
        <f t="shared" si="6"/>
        <v>0</v>
      </c>
      <c r="H20" s="2" t="str">
        <f t="shared" si="2"/>
        <v>STANDART PRICE</v>
      </c>
      <c r="I20" s="5" t="str">
        <f t="shared" si="3"/>
        <v>01</v>
      </c>
      <c r="J20" s="5" t="str">
        <f t="shared" si="0"/>
        <v>UK</v>
      </c>
      <c r="K20" s="5" t="str">
        <f t="shared" si="4"/>
        <v>-MAR-</v>
      </c>
    </row>
    <row r="21" spans="1:1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>
        <f t="shared" si="6"/>
        <v>0</v>
      </c>
      <c r="H21" s="2" t="str">
        <f t="shared" si="2"/>
        <v>STANDART PRICE</v>
      </c>
      <c r="I21" s="5" t="str">
        <f t="shared" si="3"/>
        <v>14</v>
      </c>
      <c r="J21" s="5" t="str">
        <f t="shared" si="0"/>
        <v>US</v>
      </c>
      <c r="K21" s="5" t="str">
        <f t="shared" si="4"/>
        <v>-AUG-</v>
      </c>
    </row>
    <row r="22" spans="1:1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>
        <f t="shared" si="6"/>
        <v>0</v>
      </c>
      <c r="H22" s="2" t="str">
        <f t="shared" si="2"/>
        <v>HIGH PRICE</v>
      </c>
      <c r="I22" s="5" t="str">
        <f t="shared" si="3"/>
        <v>14</v>
      </c>
      <c r="J22" s="5" t="str">
        <f t="shared" si="0"/>
        <v>RU</v>
      </c>
      <c r="K22" s="5" t="str">
        <f t="shared" si="4"/>
        <v>-MAY-</v>
      </c>
    </row>
    <row r="23" spans="1:1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>
        <f t="shared" si="6"/>
        <v>0</v>
      </c>
      <c r="H23" s="2" t="str">
        <f t="shared" si="2"/>
        <v>STANDART PRICE</v>
      </c>
      <c r="I23" s="5" t="str">
        <f t="shared" si="3"/>
        <v>09</v>
      </c>
      <c r="J23" s="5" t="str">
        <f>RIGHT(A23,2)</f>
        <v>CA</v>
      </c>
      <c r="K23" s="5" t="str">
        <f t="shared" si="4"/>
        <v>-JAN-</v>
      </c>
    </row>
    <row r="24" spans="1:1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>
        <f t="shared" si="6"/>
        <v>0</v>
      </c>
      <c r="H24" s="2" t="str">
        <f t="shared" si="2"/>
        <v>STANDART PRICE</v>
      </c>
      <c r="I24" s="5" t="str">
        <f t="shared" si="3"/>
        <v>19</v>
      </c>
      <c r="J24" s="5" t="str">
        <f t="shared" si="0"/>
        <v>BR</v>
      </c>
      <c r="K24" s="5" t="str">
        <f t="shared" si="4"/>
        <v>-JUL-</v>
      </c>
    </row>
    <row r="25" spans="1:1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>
        <f t="shared" si="6"/>
        <v>0</v>
      </c>
      <c r="H25" s="2" t="str">
        <f t="shared" si="2"/>
        <v>STANDART PRICE</v>
      </c>
      <c r="I25" s="5" t="str">
        <f t="shared" si="3"/>
        <v>21</v>
      </c>
      <c r="J25" s="5" t="str">
        <f t="shared" si="0"/>
        <v>CA</v>
      </c>
      <c r="K25" s="5" t="str">
        <f t="shared" si="4"/>
        <v>-AUG-</v>
      </c>
    </row>
    <row r="26" spans="1:1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>
        <f t="shared" si="6"/>
        <v>0</v>
      </c>
      <c r="H26" s="2" t="str">
        <f t="shared" si="2"/>
        <v>HIGH PRICE</v>
      </c>
      <c r="I26" s="5" t="str">
        <f t="shared" si="3"/>
        <v>29</v>
      </c>
      <c r="J26" s="5" t="str">
        <f t="shared" si="0"/>
        <v>CA</v>
      </c>
      <c r="K26" s="5" t="str">
        <f t="shared" si="4"/>
        <v>-SEP-</v>
      </c>
    </row>
    <row r="27" spans="1:1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>
        <f t="shared" si="6"/>
        <v>0</v>
      </c>
      <c r="H27" s="2" t="str">
        <f t="shared" si="2"/>
        <v>STANDART PRICE</v>
      </c>
      <c r="I27" s="5" t="str">
        <f t="shared" si="3"/>
        <v>03</v>
      </c>
      <c r="J27" s="5" t="str">
        <f t="shared" si="0"/>
        <v>CA</v>
      </c>
      <c r="K27" s="5" t="str">
        <f t="shared" si="4"/>
        <v>-JUN-</v>
      </c>
    </row>
    <row r="28" spans="1:1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>
        <f t="shared" si="6"/>
        <v>0</v>
      </c>
      <c r="H28" s="2" t="str">
        <f t="shared" si="2"/>
        <v>STANDART PRICE</v>
      </c>
      <c r="I28" s="5" t="str">
        <f t="shared" si="3"/>
        <v>11</v>
      </c>
      <c r="J28" s="5" t="str">
        <f t="shared" si="0"/>
        <v>CA</v>
      </c>
      <c r="K28" s="5" t="str">
        <f t="shared" si="4"/>
        <v>-JUL-</v>
      </c>
    </row>
    <row r="29" spans="1:1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>
        <f t="shared" si="6"/>
        <v>0</v>
      </c>
      <c r="H29" s="2" t="str">
        <f t="shared" si="2"/>
        <v>STANDART PRICE</v>
      </c>
      <c r="I29" s="5" t="str">
        <f t="shared" si="3"/>
        <v>16</v>
      </c>
      <c r="J29" s="5" t="str">
        <f t="shared" si="0"/>
        <v>ES</v>
      </c>
      <c r="K29" s="5" t="str">
        <f t="shared" si="4"/>
        <v>-APR-</v>
      </c>
    </row>
    <row r="30" spans="1:1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>
        <f t="shared" si="6"/>
        <v>0</v>
      </c>
      <c r="H30" s="2" t="str">
        <f t="shared" si="2"/>
        <v>STANDART PRICE</v>
      </c>
      <c r="I30" s="5" t="str">
        <f t="shared" si="3"/>
        <v>07</v>
      </c>
      <c r="J30" s="5" t="str">
        <f t="shared" si="0"/>
        <v>CA</v>
      </c>
      <c r="K30" s="5" t="str">
        <f t="shared" si="4"/>
        <v>-MAR-</v>
      </c>
    </row>
    <row r="31" spans="1:1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>
        <f t="shared" si="6"/>
        <v>0</v>
      </c>
      <c r="H31" s="2" t="str">
        <f t="shared" si="2"/>
        <v>STANDART PRICE</v>
      </c>
      <c r="I31" s="5" t="str">
        <f t="shared" si="3"/>
        <v>13</v>
      </c>
      <c r="J31" s="5" t="str">
        <f t="shared" si="0"/>
        <v>CA</v>
      </c>
      <c r="K31" s="5" t="str">
        <f t="shared" si="4"/>
        <v>-APR-</v>
      </c>
    </row>
    <row r="32" spans="1:1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>
        <f t="shared" si="6"/>
        <v>0</v>
      </c>
      <c r="H32" s="2" t="str">
        <f t="shared" si="2"/>
        <v>STANDART PRICE</v>
      </c>
      <c r="I32" s="5" t="str">
        <f t="shared" si="3"/>
        <v>24</v>
      </c>
      <c r="J32" s="5" t="str">
        <f t="shared" si="0"/>
        <v>CA</v>
      </c>
      <c r="K32" s="5" t="str">
        <f t="shared" si="4"/>
        <v>-MAY-</v>
      </c>
    </row>
    <row r="33" spans="1:1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>
        <f t="shared" si="6"/>
        <v>0</v>
      </c>
      <c r="H33" s="2" t="str">
        <f t="shared" si="2"/>
        <v>STANDART PRICE</v>
      </c>
      <c r="I33" s="5" t="str">
        <f t="shared" si="3"/>
        <v>02</v>
      </c>
      <c r="J33" s="5" t="str">
        <f>RIGHT(A33,2)</f>
        <v>CA</v>
      </c>
      <c r="K33" s="5" t="str">
        <f t="shared" si="4"/>
        <v>-DEC-</v>
      </c>
    </row>
    <row r="34" spans="1:1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>
        <f t="shared" si="6"/>
        <v>0</v>
      </c>
      <c r="H34" s="2" t="str">
        <f t="shared" si="2"/>
        <v>HIGH PRICE</v>
      </c>
      <c r="I34" s="5" t="str">
        <f t="shared" si="3"/>
        <v>17</v>
      </c>
      <c r="J34" s="5" t="str">
        <f t="shared" si="0"/>
        <v>IN</v>
      </c>
      <c r="K34" s="5" t="str">
        <f t="shared" si="4"/>
        <v>-JUN-</v>
      </c>
    </row>
    <row r="35" spans="1:1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>
        <f t="shared" si="6"/>
        <v>0</v>
      </c>
      <c r="H35" s="2" t="str">
        <f t="shared" si="2"/>
        <v>STANDART PRICE</v>
      </c>
      <c r="I35" s="5" t="str">
        <f t="shared" si="3"/>
        <v>09</v>
      </c>
      <c r="J35" s="5" t="str">
        <f t="shared" si="0"/>
        <v>FR</v>
      </c>
      <c r="K35" s="5" t="str">
        <f t="shared" si="4"/>
        <v>-JUL-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RAGAVI V</cp:lastModifiedBy>
  <dcterms:modified xsi:type="dcterms:W3CDTF">2026-05-24T06:13:57Z</dcterms:modified>
</cp:coreProperties>
</file>